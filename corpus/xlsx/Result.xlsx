
<file path=[Content_Types].xml><?xml version="1.0" encoding="utf-8"?>
<Types xmlns="http://schemas.openxmlformats.org/package/2006/content-types">
  <Override PartName="/xl/charts/chart6.xml" ContentType="application/vnd.openxmlformats-officedocument.drawingml.char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activeTab="1"/>
  </bookViews>
  <sheets>
    <sheet name="AGE" sheetId="1" r:id="rId1"/>
    <sheet name="GENDER" sheetId="2" r:id="rId2"/>
    <sheet name="Sheet3" sheetId="3" r:id="rId3"/>
  </sheets>
  <calcPr calcId="125725" iterateDelta="1E-4"/>
</workbook>
</file>

<file path=xl/calcChain.xml><?xml version="1.0" encoding="utf-8"?>
<calcChain xmlns="http://schemas.openxmlformats.org/spreadsheetml/2006/main">
  <c r="C38" i="2"/>
  <c r="B38"/>
  <c r="G30" i="1"/>
  <c r="D22"/>
  <c r="E22"/>
  <c r="F22"/>
  <c r="C22"/>
  <c r="C35" i="2"/>
  <c r="B35"/>
  <c r="E18"/>
  <c r="C21"/>
  <c r="B21"/>
  <c r="C20"/>
  <c r="C22" s="1"/>
  <c r="B20"/>
  <c r="B22" s="1"/>
  <c r="D17"/>
  <c r="D16"/>
  <c r="D15"/>
  <c r="D14"/>
  <c r="D13"/>
  <c r="D12"/>
  <c r="D11"/>
  <c r="D10"/>
  <c r="D9"/>
  <c r="D8"/>
  <c r="D7"/>
  <c r="D6"/>
  <c r="D5"/>
  <c r="D4"/>
  <c r="D3"/>
  <c r="D2"/>
  <c r="D18" s="1"/>
  <c r="F31" i="1"/>
  <c r="E31"/>
  <c r="D31"/>
  <c r="C31"/>
  <c r="F18"/>
  <c r="E18"/>
  <c r="D18"/>
  <c r="C18"/>
  <c r="G17"/>
  <c r="G16"/>
  <c r="G15"/>
  <c r="G14"/>
  <c r="G13"/>
  <c r="G10"/>
  <c r="G12"/>
  <c r="G9"/>
  <c r="G8"/>
  <c r="G7"/>
  <c r="G11"/>
  <c r="G6"/>
  <c r="G5"/>
  <c r="G4"/>
  <c r="G3"/>
  <c r="G2"/>
  <c r="G18" l="1"/>
  <c r="H18" l="1"/>
  <c r="H17"/>
  <c r="H15"/>
  <c r="H13"/>
  <c r="H11"/>
  <c r="H5"/>
  <c r="H3"/>
  <c r="H8"/>
  <c r="H14"/>
  <c r="H9"/>
  <c r="H6"/>
  <c r="H2"/>
  <c r="H12"/>
  <c r="H16"/>
  <c r="H10"/>
  <c r="H7"/>
  <c r="H4"/>
</calcChain>
</file>

<file path=xl/sharedStrings.xml><?xml version="1.0" encoding="utf-8"?>
<sst xmlns="http://schemas.openxmlformats.org/spreadsheetml/2006/main" count="98" uniqueCount="78">
  <si>
    <t>19-35</t>
  </si>
  <si>
    <t>36-60</t>
  </si>
  <si>
    <t>H</t>
  </si>
  <si>
    <t>C</t>
  </si>
  <si>
    <t>D</t>
  </si>
  <si>
    <t>N</t>
  </si>
  <si>
    <t>A</t>
  </si>
  <si>
    <t>P</t>
  </si>
  <si>
    <t>E</t>
  </si>
  <si>
    <t>I</t>
  </si>
  <si>
    <t>M</t>
  </si>
  <si>
    <t>J</t>
  </si>
  <si>
    <t>O</t>
  </si>
  <si>
    <t>K</t>
  </si>
  <si>
    <t>B</t>
  </si>
  <si>
    <t>F</t>
  </si>
  <si>
    <t>G</t>
  </si>
  <si>
    <t>L</t>
  </si>
  <si>
    <t>outdoor</t>
  </si>
  <si>
    <t>check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</si>
  <si>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</si>
  <si>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</si>
  <si>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</si>
  <si>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</si>
  <si>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</si>
  <si>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</si>
  <si>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</si>
  <si>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</si>
  <si>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</si>
  <si>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</si>
  <si>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/>
  </si>
  <si>
    <t>everyday</t>
  </si>
  <si>
    <t>weekly</t>
  </si>
  <si>
    <t>monthly</t>
  </si>
  <si>
    <t>longer</t>
  </si>
  <si>
    <t>Listening to music</t>
    <phoneticPr fontId="1" type="noConversion"/>
  </si>
  <si>
    <t>Web surfing</t>
    <phoneticPr fontId="1" type="noConversion"/>
  </si>
  <si>
    <t>Video games</t>
    <phoneticPr fontId="1" type="noConversion"/>
  </si>
  <si>
    <t>Watching TV or DVD</t>
    <phoneticPr fontId="1" type="noConversion"/>
  </si>
  <si>
    <t>Reading newspaper or books</t>
    <phoneticPr fontId="1" type="noConversion"/>
  </si>
  <si>
    <t>Chatting</t>
    <phoneticPr fontId="1" type="noConversion"/>
  </si>
  <si>
    <t>Party</t>
    <phoneticPr fontId="1" type="noConversion"/>
  </si>
  <si>
    <t>Poker, chess or other board games</t>
    <phoneticPr fontId="1" type="noConversion"/>
  </si>
  <si>
    <t>Shopping</t>
    <phoneticPr fontId="1" type="noConversion"/>
  </si>
  <si>
    <t>Go to cinema or theatre</t>
    <phoneticPr fontId="1" type="noConversion"/>
  </si>
  <si>
    <t>Clubbing</t>
    <phoneticPr fontId="1" type="noConversion"/>
  </si>
  <si>
    <t>Picnic or BBQ</t>
    <phoneticPr fontId="1" type="noConversion"/>
  </si>
  <si>
    <t>Travelling</t>
    <phoneticPr fontId="1" type="noConversion"/>
  </si>
  <si>
    <t>Walking or go to park</t>
    <phoneticPr fontId="1" type="noConversion"/>
  </si>
  <si>
    <t>Jogging, playing balls or other sports</t>
    <phoneticPr fontId="1" type="noConversion"/>
  </si>
  <si>
    <t>Others</t>
    <phoneticPr fontId="1" type="noConversion"/>
  </si>
  <si>
    <t>Below 18</t>
    <phoneticPr fontId="1" type="noConversion"/>
  </si>
  <si>
    <t>Over 60</t>
    <phoneticPr fontId="1" type="noConversion"/>
  </si>
  <si>
    <t>Total</t>
    <phoneticPr fontId="1" type="noConversion"/>
  </si>
  <si>
    <t>Activities</t>
    <phoneticPr fontId="1" type="noConversion"/>
  </si>
  <si>
    <t>Percentage</t>
    <phoneticPr fontId="1" type="noConversion"/>
  </si>
  <si>
    <t>Indoor activities/ Out activities</t>
    <phoneticPr fontId="1" type="noConversion"/>
  </si>
  <si>
    <t>Number of the activities people selecte</t>
    <phoneticPr fontId="1" type="noConversion"/>
  </si>
  <si>
    <t>indoor</t>
    <phoneticPr fontId="1" type="noConversion"/>
  </si>
  <si>
    <t>Average number of activities</t>
    <phoneticPr fontId="1" type="noConversion"/>
  </si>
  <si>
    <t>Family</t>
    <phoneticPr fontId="1" type="noConversion"/>
  </si>
  <si>
    <t>Friends</t>
    <phoneticPr fontId="1" type="noConversion"/>
  </si>
  <si>
    <t>On my own</t>
    <phoneticPr fontId="1" type="noConversion"/>
  </si>
  <si>
    <t>Who do people below 36 spend their free-time with</t>
    <phoneticPr fontId="1" type="noConversion"/>
  </si>
  <si>
    <t>Who do people between 36 and 60 spend their free-time with</t>
    <phoneticPr fontId="1" type="noConversion"/>
  </si>
  <si>
    <t>Who do people over 60 spend their free-time with</t>
    <phoneticPr fontId="1" type="noConversion"/>
  </si>
  <si>
    <t>Male</t>
    <phoneticPr fontId="1" type="noConversion"/>
  </si>
  <si>
    <t>Female</t>
    <phoneticPr fontId="1" type="noConversion"/>
  </si>
  <si>
    <t>Indoor</t>
    <phoneticPr fontId="1" type="noConversion"/>
  </si>
  <si>
    <t>Outdoor</t>
    <phoneticPr fontId="1" type="noConversion"/>
  </si>
  <si>
    <t>Indoor activities/ Outdoor activities</t>
    <phoneticPr fontId="1" type="noConversion"/>
  </si>
  <si>
    <t>Average number of activities people selected</t>
    <phoneticPr fontId="1" type="noConversion"/>
  </si>
  <si>
    <t>Indoor activities</t>
    <phoneticPr fontId="1" type="noConversion"/>
  </si>
  <si>
    <t>Outdoor activities</t>
    <phoneticPr fontId="1" type="noConversion"/>
  </si>
  <si>
    <t>Everyday</t>
    <phoneticPr fontId="1" type="noConversion"/>
  </si>
  <si>
    <t>Weekly</t>
    <phoneticPr fontId="1" type="noConversion"/>
  </si>
  <si>
    <t>Monthly</t>
    <phoneticPr fontId="1" type="noConversion"/>
  </si>
  <si>
    <t>Longer than one month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</si>
</sst>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0_ "/>
  </numFmts>
  <fonts count="2">
    <font>
      <sz val="11"/>
      <color rgb="FF000000"/>
      <name val="宋体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/>
    <xf numFmtId="0" fontId="0" fillId="0" borderId="0" xfId="0" applyAlignment="1"/>
    <xf numFmtId="10" fontId="0" fillId="0" borderId="0" xfId="0" applyNumberFormat="1" applyAlignment="1"/>
    <xf numFmtId="0" fontId="0" fillId="0" borderId="0" xfId="0" applyAlignment="1" applyProtection="1"/>
    <xf numFmtId="0" fontId="0" fillId="0" borderId="0" xfId="0" applyAlignment="1">
      <alignment horizontal="center"/>
    </xf>
    <xf numFmtId="176" fontId="0" fillId="0" borderId="0" xfId="0" applyNumberForma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C5000B"/>
      <rgbColor rgb="0000FF00"/>
      <rgbColor rgb="000000FF"/>
      <rgbColor rgb="00FFFF00"/>
      <rgbColor rgb="00FF00FF"/>
      <rgbColor rgb="0000FFFF"/>
      <rgbColor rgb="007E0021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3CAFF"/>
      <rgbColor rgb="00FF99CC"/>
      <rgbColor rgb="00CC99FF"/>
      <rgbColor rgb="00FFCC99"/>
      <rgbColor rgb="003366FF"/>
      <rgbColor rgb="0033CCCC"/>
      <rgbColor rgb="00AECF00"/>
      <rgbColor rgb="00FFD320"/>
      <rgbColor rgb="00FF950E"/>
      <rgbColor rgb="00FF420E"/>
      <rgbColor rgb="00666699"/>
      <rgbColor rgb="00B3B3B3"/>
      <rgbColor rgb="00004586"/>
      <rgbColor rgb="00579D1C"/>
      <rgbColor rgb="00003300"/>
      <rgbColor rgb="00314004"/>
      <rgbColor rgb="00993300"/>
      <rgbColor rgb="00993366"/>
      <rgbColor rgb="004B1F6F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35"/>
  <c:chart>
    <c:title>
      <c:tx>
        <c:rich>
          <a:bodyPr/>
          <a:lstStyle/>
          <a:p>
            <a:pPr>
              <a:defRPr/>
            </a:pPr>
            <a:r>
              <a:rPr lang="en-US"/>
              <a:t>Popularity of leisure activities</a:t>
            </a:r>
          </a:p>
        </c:rich>
      </c:tx>
      <c:layout/>
    </c:title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AGE!$H$1</c:f>
              <c:strCache>
                <c:ptCount val="1"/>
                <c:pt idx="0">
                  <c:v>Percentage</c:v>
                </c:pt>
              </c:strCache>
            </c:strRef>
          </c:tx>
          <c:cat>
            <c:strRef>
              <c:f>AGE!$B$2:$B$17</c:f>
              <c:strCache>
                <c:ptCount val="16"/>
                <c:pt idx="0">
                  <c:v>Listening to music</c:v>
                </c:pt>
                <c:pt idx="1">
                  <c:v>Watching TV or DVD</c:v>
                </c:pt>
                <c:pt idx="2">
                  <c:v>Reading newspaper or books</c:v>
                </c:pt>
                <c:pt idx="3">
                  <c:v>Walking or go to park</c:v>
                </c:pt>
                <c:pt idx="4">
                  <c:v>Web surfing</c:v>
                </c:pt>
                <c:pt idx="5">
                  <c:v>Chatting</c:v>
                </c:pt>
                <c:pt idx="6">
                  <c:v>Shopping</c:v>
                </c:pt>
                <c:pt idx="7">
                  <c:v>Travelling</c:v>
                </c:pt>
                <c:pt idx="8">
                  <c:v>Jogging, playing balls or other sports</c:v>
                </c:pt>
                <c:pt idx="9">
                  <c:v>Others</c:v>
                </c:pt>
                <c:pt idx="10">
                  <c:v>Go to cinema or theatre</c:v>
                </c:pt>
                <c:pt idx="11">
                  <c:v>Clubbing</c:v>
                </c:pt>
                <c:pt idx="12">
                  <c:v>Video games</c:v>
                </c:pt>
                <c:pt idx="13">
                  <c:v>Party</c:v>
                </c:pt>
                <c:pt idx="14">
                  <c:v>Poker, chess or other board games</c:v>
                </c:pt>
                <c:pt idx="15">
                  <c:v>Picnic or BBQ</c:v>
                </c:pt>
              </c:strCache>
            </c:strRef>
          </c:cat>
          <c:val>
            <c:numRef>
              <c:f>AGE!$H$2:$H$17</c:f>
              <c:numCache>
                <c:formatCode>0.00%</c:formatCode>
                <c:ptCount val="16"/>
                <c:pt idx="0">
                  <c:v>0.13043478260869565</c:v>
                </c:pt>
                <c:pt idx="1">
                  <c:v>0.11956521739130435</c:v>
                </c:pt>
                <c:pt idx="2">
                  <c:v>8.6956521739130432E-2</c:v>
                </c:pt>
                <c:pt idx="3">
                  <c:v>8.6956521739130432E-2</c:v>
                </c:pt>
                <c:pt idx="4">
                  <c:v>7.6086956521739135E-2</c:v>
                </c:pt>
                <c:pt idx="5">
                  <c:v>6.5217391304347824E-2</c:v>
                </c:pt>
                <c:pt idx="6">
                  <c:v>6.5217391304347824E-2</c:v>
                </c:pt>
                <c:pt idx="7">
                  <c:v>6.5217391304347824E-2</c:v>
                </c:pt>
                <c:pt idx="8">
                  <c:v>6.5217391304347824E-2</c:v>
                </c:pt>
                <c:pt idx="9">
                  <c:v>6.5217391304347824E-2</c:v>
                </c:pt>
                <c:pt idx="10">
                  <c:v>5.434782608695652E-2</c:v>
                </c:pt>
                <c:pt idx="11">
                  <c:v>4.3478260869565216E-2</c:v>
                </c:pt>
                <c:pt idx="12">
                  <c:v>3.2608695652173912E-2</c:v>
                </c:pt>
                <c:pt idx="13">
                  <c:v>2.1739130434782608E-2</c:v>
                </c:pt>
                <c:pt idx="14">
                  <c:v>1.0869565217391304E-2</c:v>
                </c:pt>
                <c:pt idx="15">
                  <c:v>1.0869565217391304E-2</c:v>
                </c:pt>
              </c:numCache>
            </c:numRef>
          </c:val>
        </c:ser>
        <c:shape val="box"/>
        <c:axId val="48795008"/>
        <c:axId val="49185920"/>
        <c:axId val="0"/>
      </c:bar3DChart>
      <c:catAx>
        <c:axId val="48795008"/>
        <c:scaling>
          <c:orientation val="minMax"/>
        </c:scaling>
        <c:axPos val="l"/>
        <c:tickLblPos val="nextTo"/>
        <c:crossAx val="49185920"/>
        <c:crosses val="autoZero"/>
        <c:auto val="1"/>
        <c:lblAlgn val="ctr"/>
        <c:lblOffset val="100"/>
      </c:catAx>
      <c:valAx>
        <c:axId val="49185920"/>
        <c:scaling>
          <c:orientation val="minMax"/>
        </c:scaling>
        <c:axPos val="b"/>
        <c:majorGridlines/>
        <c:numFmt formatCode="0.00%" sourceLinked="1"/>
        <c:tickLblPos val="nextTo"/>
        <c:crossAx val="48795008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35"/>
  <c:chart>
    <c:title>
      <c:tx>
        <c:rich>
          <a:bodyPr/>
          <a:lstStyle/>
          <a:p>
            <a:pPr>
              <a:defRPr/>
            </a:pPr>
            <a:r>
              <a:rPr lang="en-US"/>
              <a:t>Do people prefer indoor or outdoor activities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Number of indoor activities/ Number of outdoor activities</c:v>
          </c:tx>
          <c:cat>
            <c:strRef>
              <c:f>AGE!$C$1:$F$1</c:f>
              <c:strCache>
                <c:ptCount val="4"/>
                <c:pt idx="0">
                  <c:v>Below 18</c:v>
                </c:pt>
                <c:pt idx="1">
                  <c:v>19-35</c:v>
                </c:pt>
                <c:pt idx="2">
                  <c:v>36-60</c:v>
                </c:pt>
                <c:pt idx="3">
                  <c:v>Over 60</c:v>
                </c:pt>
              </c:strCache>
            </c:strRef>
          </c:cat>
          <c:val>
            <c:numRef>
              <c:f>AGE!$C$22:$F$22</c:f>
              <c:numCache>
                <c:formatCode>General</c:formatCode>
                <c:ptCount val="4"/>
                <c:pt idx="0">
                  <c:v>0.83333333333333337</c:v>
                </c:pt>
                <c:pt idx="1">
                  <c:v>1.0909090909090908</c:v>
                </c:pt>
                <c:pt idx="2">
                  <c:v>2.5714285714285716</c:v>
                </c:pt>
                <c:pt idx="3">
                  <c:v>0.42857142857142855</c:v>
                </c:pt>
              </c:numCache>
            </c:numRef>
          </c:val>
        </c:ser>
        <c:shape val="box"/>
        <c:axId val="49210880"/>
        <c:axId val="49212416"/>
        <c:axId val="0"/>
      </c:bar3DChart>
      <c:catAx>
        <c:axId val="49210880"/>
        <c:scaling>
          <c:orientation val="minMax"/>
        </c:scaling>
        <c:axPos val="b"/>
        <c:tickLblPos val="nextTo"/>
        <c:crossAx val="49212416"/>
        <c:crosses val="autoZero"/>
        <c:auto val="1"/>
        <c:lblAlgn val="ctr"/>
        <c:lblOffset val="100"/>
      </c:catAx>
      <c:valAx>
        <c:axId val="49212416"/>
        <c:scaling>
          <c:orientation val="minMax"/>
        </c:scaling>
        <c:axPos val="l"/>
        <c:majorGridlines/>
        <c:numFmt formatCode="General" sourceLinked="1"/>
        <c:tickLblPos val="nextTo"/>
        <c:crossAx val="49210880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35"/>
  <c:chart>
    <c:title>
      <c:tx>
        <c:rich>
          <a:bodyPr/>
          <a:lstStyle/>
          <a:p>
            <a:pPr>
              <a:defRPr/>
            </a:pPr>
            <a:r>
              <a:rPr lang="en-US" altLang="zh-CN" sz="1800" b="1" i="0" baseline="0"/>
              <a:t>Number of preference activities in different ages 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Average number of activities selected by people of different ages</c:v>
          </c:tx>
          <c:cat>
            <c:strRef>
              <c:f>AGE!$C$1:$F$1</c:f>
              <c:strCache>
                <c:ptCount val="4"/>
                <c:pt idx="0">
                  <c:v>Below 18</c:v>
                </c:pt>
                <c:pt idx="1">
                  <c:v>19-35</c:v>
                </c:pt>
                <c:pt idx="2">
                  <c:v>36-60</c:v>
                </c:pt>
                <c:pt idx="3">
                  <c:v>Over 60</c:v>
                </c:pt>
              </c:strCache>
            </c:strRef>
          </c:cat>
          <c:val>
            <c:numRef>
              <c:f>AGE!$C$31:$F$31</c:f>
              <c:numCache>
                <c:formatCode>General</c:formatCode>
                <c:ptCount val="4"/>
                <c:pt idx="0">
                  <c:v>11</c:v>
                </c:pt>
                <c:pt idx="1">
                  <c:v>6.5714285714285712</c:v>
                </c:pt>
                <c:pt idx="2">
                  <c:v>4.166666666666667</c:v>
                </c:pt>
                <c:pt idx="3">
                  <c:v>3.3333333333333335</c:v>
                </c:pt>
              </c:numCache>
            </c:numRef>
          </c:val>
        </c:ser>
        <c:shape val="box"/>
        <c:axId val="49044480"/>
        <c:axId val="49046272"/>
        <c:axId val="0"/>
      </c:bar3DChart>
      <c:catAx>
        <c:axId val="49044480"/>
        <c:scaling>
          <c:orientation val="minMax"/>
        </c:scaling>
        <c:axPos val="b"/>
        <c:tickLblPos val="nextTo"/>
        <c:crossAx val="49046272"/>
        <c:crosses val="autoZero"/>
        <c:auto val="1"/>
        <c:lblAlgn val="ctr"/>
        <c:lblOffset val="100"/>
      </c:catAx>
      <c:valAx>
        <c:axId val="49046272"/>
        <c:scaling>
          <c:orientation val="minMax"/>
        </c:scaling>
        <c:axPos val="l"/>
        <c:majorGridlines/>
        <c:numFmt formatCode="General" sourceLinked="1"/>
        <c:tickLblPos val="nextTo"/>
        <c:crossAx val="49044480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18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AGE!$C$47</c:f>
              <c:strCache>
                <c:ptCount val="1"/>
                <c:pt idx="0">
                  <c:v>Who do people below 36 spend their free-time with</c:v>
                </c:pt>
              </c:strCache>
            </c:strRef>
          </c:tx>
          <c:cat>
            <c:strRef>
              <c:f>AGE!$A$44:$A$46</c:f>
              <c:strCache>
                <c:ptCount val="3"/>
                <c:pt idx="0">
                  <c:v>Family</c:v>
                </c:pt>
                <c:pt idx="1">
                  <c:v>Friends</c:v>
                </c:pt>
                <c:pt idx="2">
                  <c:v>On my own</c:v>
                </c:pt>
              </c:strCache>
            </c:strRef>
          </c:cat>
          <c:val>
            <c:numRef>
              <c:f>AGE!$C$44:$C$46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18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AGE!$E$47</c:f>
              <c:strCache>
                <c:ptCount val="1"/>
                <c:pt idx="0">
                  <c:v>Who do people between 36 and 60 spend their free-time with</c:v>
                </c:pt>
              </c:strCache>
            </c:strRef>
          </c:tx>
          <c:cat>
            <c:strRef>
              <c:f>AGE!$A$44:$A$46</c:f>
              <c:strCache>
                <c:ptCount val="3"/>
                <c:pt idx="0">
                  <c:v>Family</c:v>
                </c:pt>
                <c:pt idx="1">
                  <c:v>Friends</c:v>
                </c:pt>
                <c:pt idx="2">
                  <c:v>On my own</c:v>
                </c:pt>
              </c:strCache>
            </c:strRef>
          </c:cat>
          <c:val>
            <c:numRef>
              <c:f>AGE!$E$44:$E$46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18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AGE!$F$47</c:f>
              <c:strCache>
                <c:ptCount val="1"/>
                <c:pt idx="0">
                  <c:v>Who do people over 60 spend their free-time with</c:v>
                </c:pt>
              </c:strCache>
            </c:strRef>
          </c:tx>
          <c:cat>
            <c:strRef>
              <c:f>AGE!$A$44:$A$46</c:f>
              <c:strCache>
                <c:ptCount val="3"/>
                <c:pt idx="0">
                  <c:v>Family</c:v>
                </c:pt>
                <c:pt idx="1">
                  <c:v>Friends</c:v>
                </c:pt>
                <c:pt idx="2">
                  <c:v>On my own</c:v>
                </c:pt>
              </c:strCache>
            </c:strRef>
          </c:cat>
          <c:val>
            <c:numRef>
              <c:f>AGE!$F$44:$F$46</c:f>
              <c:numCache>
                <c:formatCode>General</c:formatCode>
                <c:ptCount val="3"/>
                <c:pt idx="0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35"/>
  <c:chart>
    <c:title>
      <c:layout>
        <c:manualLayout>
          <c:xMode val="edge"/>
          <c:yMode val="edge"/>
          <c:x val="0.12003112181333805"/>
          <c:y val="1.0309278350515464E-2"/>
        </c:manualLayout>
      </c:layout>
    </c:title>
    <c:view3D>
      <c:rAngAx val="1"/>
    </c:view3D>
    <c:plotArea>
      <c:layout>
        <c:manualLayout>
          <c:layoutTarget val="inner"/>
          <c:xMode val="edge"/>
          <c:yMode val="edge"/>
          <c:x val="0.11342305476355798"/>
          <c:y val="0.15490570122033723"/>
          <c:w val="0.85905974698753662"/>
          <c:h val="0.6610263278945806"/>
        </c:manualLayout>
      </c:layout>
      <c:bar3DChart>
        <c:barDir val="col"/>
        <c:grouping val="clustered"/>
        <c:ser>
          <c:idx val="0"/>
          <c:order val="0"/>
          <c:tx>
            <c:v>Number of indoor activities/ Number of outdoor activities</c:v>
          </c:tx>
          <c:dLbls>
            <c:dLbl>
              <c:idx val="0"/>
              <c:layout>
                <c:manualLayout>
                  <c:x val="1.1533980391287862E-2"/>
                  <c:y val="-3.4364261168384883E-2"/>
                </c:manualLayout>
              </c:layout>
              <c:showVal val="1"/>
            </c:dLbl>
            <c:dLbl>
              <c:idx val="1"/>
              <c:layout>
                <c:manualLayout>
                  <c:x val="1.3840540101342867E-2"/>
                  <c:y val="-3.4364261168384883E-2"/>
                </c:manualLayout>
              </c:layout>
              <c:showVal val="1"/>
            </c:dLbl>
            <c:showVal val="1"/>
          </c:dLbls>
          <c:cat>
            <c:strRef>
              <c:f>GENDER!$B$1:$C$1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GENDER!$B$22:$C$22</c:f>
              <c:numCache>
                <c:formatCode>0.000_ </c:formatCode>
                <c:ptCount val="2"/>
                <c:pt idx="0">
                  <c:v>1.1923076923076923</c:v>
                </c:pt>
                <c:pt idx="1">
                  <c:v>1.1875</c:v>
                </c:pt>
              </c:numCache>
            </c:numRef>
          </c:val>
        </c:ser>
        <c:shape val="box"/>
        <c:axId val="74227072"/>
        <c:axId val="72684672"/>
        <c:axId val="0"/>
      </c:bar3DChart>
      <c:catAx>
        <c:axId val="74227072"/>
        <c:scaling>
          <c:orientation val="minMax"/>
        </c:scaling>
        <c:axPos val="b"/>
        <c:tickLblPos val="nextTo"/>
        <c:crossAx val="72684672"/>
        <c:crosses val="autoZero"/>
        <c:auto val="1"/>
        <c:lblAlgn val="ctr"/>
        <c:lblOffset val="100"/>
      </c:catAx>
      <c:valAx>
        <c:axId val="72684672"/>
        <c:scaling>
          <c:orientation val="minMax"/>
          <c:min val="0"/>
        </c:scaling>
        <c:axPos val="l"/>
        <c:majorGridlines/>
        <c:numFmt formatCode="0.000_ " sourceLinked="1"/>
        <c:tickLblPos val="nextTo"/>
        <c:crossAx val="74227072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35"/>
  <c:chart>
    <c:title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GENDER!$A$35</c:f>
              <c:strCache>
                <c:ptCount val="1"/>
                <c:pt idx="0">
                  <c:v>Average number of activities people selected</c:v>
                </c:pt>
              </c:strCache>
            </c:strRef>
          </c:tx>
          <c:cat>
            <c:strRef>
              <c:f>GENDER!$B$1:$C$1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GENDER!$B$35:$C$35</c:f>
              <c:numCache>
                <c:formatCode>General</c:formatCode>
                <c:ptCount val="2"/>
                <c:pt idx="0">
                  <c:v>4.9090909090909092</c:v>
                </c:pt>
                <c:pt idx="1">
                  <c:v>6.333333333333333</c:v>
                </c:pt>
              </c:numCache>
            </c:numRef>
          </c:val>
        </c:ser>
        <c:shape val="box"/>
        <c:axId val="72712960"/>
        <c:axId val="72714496"/>
        <c:axId val="0"/>
      </c:bar3DChart>
      <c:catAx>
        <c:axId val="72712960"/>
        <c:scaling>
          <c:orientation val="minMax"/>
        </c:scaling>
        <c:axPos val="b"/>
        <c:tickLblPos val="nextTo"/>
        <c:crossAx val="72714496"/>
        <c:crosses val="autoZero"/>
        <c:auto val="1"/>
        <c:lblAlgn val="ctr"/>
        <c:lblOffset val="100"/>
      </c:catAx>
      <c:valAx>
        <c:axId val="72714496"/>
        <c:scaling>
          <c:orientation val="minMax"/>
        </c:scaling>
        <c:axPos val="l"/>
        <c:majorGridlines/>
        <c:numFmt formatCode="General" sourceLinked="1"/>
        <c:tickLblPos val="nextTo"/>
        <c:crossAx val="72712960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35"/>
  <c:chart>
    <c:title>
      <c:tx>
        <c:rich>
          <a:bodyPr/>
          <a:lstStyle/>
          <a:p>
            <a:pPr>
              <a:defRPr/>
            </a:pPr>
            <a:r>
              <a:rPr lang="en-US"/>
              <a:t>The number of activities selected as</a:t>
            </a:r>
            <a:r>
              <a:rPr lang="en-US" baseline="0"/>
              <a:t> favorite</a:t>
            </a:r>
            <a:endParaRPr lang="en-US"/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The number of people who selecte indoor or outdoor activities</c:v>
          </c:tx>
          <c:cat>
            <c:strRef>
              <c:f>GENDER!$B$37:$C$37</c:f>
              <c:strCache>
                <c:ptCount val="2"/>
                <c:pt idx="0">
                  <c:v>Indoor activities</c:v>
                </c:pt>
                <c:pt idx="1">
                  <c:v>Outdoor activities</c:v>
                </c:pt>
              </c:strCache>
            </c:strRef>
          </c:cat>
          <c:val>
            <c:numRef>
              <c:f>GENDER!$B$38:$C$38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</c:ser>
        <c:shape val="box"/>
        <c:axId val="72743168"/>
        <c:axId val="74321920"/>
        <c:axId val="0"/>
      </c:bar3DChart>
      <c:catAx>
        <c:axId val="72743168"/>
        <c:scaling>
          <c:orientation val="minMax"/>
        </c:scaling>
        <c:axPos val="b"/>
        <c:tickLblPos val="nextTo"/>
        <c:crossAx val="74321920"/>
        <c:crosses val="autoZero"/>
        <c:auto val="1"/>
        <c:lblAlgn val="ctr"/>
        <c:lblOffset val="100"/>
      </c:catAx>
      <c:valAx>
        <c:axId val="74321920"/>
        <c:scaling>
          <c:orientation val="minMax"/>
          <c:min val="0"/>
        </c:scaling>
        <c:axPos val="l"/>
        <c:majorGridlines/>
        <c:numFmt formatCode="General" sourceLinked="1"/>
        <c:tickLblPos val="nextTo"/>
        <c:crossAx val="72743168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18"/>
  <c:chart>
    <c:title>
      <c:layout/>
    </c:title>
    <c:plotArea>
      <c:layout/>
      <c:pieChart>
        <c:varyColors val="1"/>
        <c:ser>
          <c:idx val="0"/>
          <c:order val="0"/>
          <c:tx>
            <c:v>Frequency of people's favorite indoor activities</c:v>
          </c:tx>
          <c:cat>
            <c:strRef>
              <c:f>GENDER!$A$40:$A$43</c:f>
              <c:strCache>
                <c:ptCount val="4"/>
                <c:pt idx="0">
                  <c:v>Everyday</c:v>
                </c:pt>
                <c:pt idx="1">
                  <c:v>Weekly</c:v>
                </c:pt>
                <c:pt idx="2">
                  <c:v>Monthly</c:v>
                </c:pt>
                <c:pt idx="3">
                  <c:v>Longer than one month</c:v>
                </c:pt>
              </c:strCache>
            </c:strRef>
          </c:cat>
          <c:val>
            <c:numRef>
              <c:f>GENDER!$B$40:$B$43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18"/>
  <c:chart>
    <c:title>
      <c:layout/>
    </c:title>
    <c:plotArea>
      <c:layout/>
      <c:pieChart>
        <c:varyColors val="1"/>
        <c:ser>
          <c:idx val="0"/>
          <c:order val="0"/>
          <c:tx>
            <c:v>Frequency of people's favorite outdoor activities</c:v>
          </c:tx>
          <c:cat>
            <c:strRef>
              <c:f>GENDER!$A$40:$A$43</c:f>
              <c:strCache>
                <c:ptCount val="4"/>
                <c:pt idx="0">
                  <c:v>Everyday</c:v>
                </c:pt>
                <c:pt idx="1">
                  <c:v>Weekly</c:v>
                </c:pt>
                <c:pt idx="2">
                  <c:v>Monthly</c:v>
                </c:pt>
                <c:pt idx="3">
                  <c:v>Longer than one month</c:v>
                </c:pt>
              </c:strCache>
            </c:strRef>
          </c:cat>
          <c:val>
            <c:numRef>
              <c:f>GENDER!$C$40:$C$43</c:f>
              <c:numCache>
                <c:formatCode>General</c:formatCode>
                <c:ptCount val="4"/>
                <c:pt idx="1">
                  <c:v>6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438149</xdr:colOff>
      <xdr:row>1</xdr:row>
      <xdr:rowOff>85725</xdr:rowOff>
    </xdr:from>
    <xdr:to>
      <xdr:col>19</xdr:col>
      <xdr:colOff>133350</xdr:colOff>
      <xdr:row>33</xdr:row>
      <xdr:rowOff>47625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523875</xdr:colOff>
      <xdr:row>36</xdr:row>
      <xdr:rowOff>38099</xdr:rowOff>
    </xdr:from>
    <xdr:to>
      <xdr:col>19</xdr:col>
      <xdr:colOff>190500</xdr:colOff>
      <xdr:row>55</xdr:row>
      <xdr:rowOff>161924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561975</xdr:colOff>
      <xdr:row>57</xdr:row>
      <xdr:rowOff>47624</xdr:rowOff>
    </xdr:from>
    <xdr:to>
      <xdr:col>19</xdr:col>
      <xdr:colOff>133350</xdr:colOff>
      <xdr:row>76</xdr:row>
      <xdr:rowOff>171449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47</xdr:row>
      <xdr:rowOff>47625</xdr:rowOff>
    </xdr:from>
    <xdr:to>
      <xdr:col>2</xdr:col>
      <xdr:colOff>219075</xdr:colOff>
      <xdr:row>64</xdr:row>
      <xdr:rowOff>47625</xdr:rowOff>
    </xdr:to>
    <xdr:graphicFrame macro="">
      <xdr:nvGraphicFramePr>
        <xdr:cNvPr id="14" name="图表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314326</xdr:colOff>
      <xdr:row>47</xdr:row>
      <xdr:rowOff>66675</xdr:rowOff>
    </xdr:from>
    <xdr:to>
      <xdr:col>8</xdr:col>
      <xdr:colOff>123827</xdr:colOff>
      <xdr:row>64</xdr:row>
      <xdr:rowOff>19050</xdr:rowOff>
    </xdr:to>
    <xdr:graphicFrame macro="">
      <xdr:nvGraphicFramePr>
        <xdr:cNvPr id="15" name="图表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200025</xdr:colOff>
      <xdr:row>65</xdr:row>
      <xdr:rowOff>38100</xdr:rowOff>
    </xdr:from>
    <xdr:to>
      <xdr:col>2</xdr:col>
      <xdr:colOff>600075</xdr:colOff>
      <xdr:row>81</xdr:row>
      <xdr:rowOff>38100</xdr:rowOff>
    </xdr:to>
    <xdr:graphicFrame macro="">
      <xdr:nvGraphicFramePr>
        <xdr:cNvPr id="16" name="图表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0</xdr:rowOff>
    </xdr:from>
    <xdr:to>
      <xdr:col>13</xdr:col>
      <xdr:colOff>409575</xdr:colOff>
      <xdr:row>22</xdr:row>
      <xdr:rowOff>95250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628649</xdr:colOff>
      <xdr:row>24</xdr:row>
      <xdr:rowOff>9525</xdr:rowOff>
    </xdr:from>
    <xdr:to>
      <xdr:col>21</xdr:col>
      <xdr:colOff>323850</xdr:colOff>
      <xdr:row>43</xdr:row>
      <xdr:rowOff>28575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44</xdr:row>
      <xdr:rowOff>104774</xdr:rowOff>
    </xdr:from>
    <xdr:to>
      <xdr:col>13</xdr:col>
      <xdr:colOff>609600</xdr:colOff>
      <xdr:row>61</xdr:row>
      <xdr:rowOff>114299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142875</xdr:colOff>
      <xdr:row>46</xdr:row>
      <xdr:rowOff>66675</xdr:rowOff>
    </xdr:from>
    <xdr:to>
      <xdr:col>3</xdr:col>
      <xdr:colOff>419100</xdr:colOff>
      <xdr:row>62</xdr:row>
      <xdr:rowOff>66675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133350</xdr:colOff>
      <xdr:row>63</xdr:row>
      <xdr:rowOff>133350</xdr:rowOff>
    </xdr:from>
    <xdr:to>
      <xdr:col>3</xdr:col>
      <xdr:colOff>409575</xdr:colOff>
      <xdr:row>79</xdr:row>
      <xdr:rowOff>133350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opLeftCell="H34" workbookViewId="0">
      <selection activeCell="K80" sqref="K80"/>
    </sheetView>
  </sheetViews>
  <sheetFormatPr defaultRowHeight="13.5" outlineLevelRow="1"/>
  <cols>
    <col min="1" max="1" width="8.625"/>
    <col min="2" max="2" width="39.75" customWidth="1"/>
    <col min="3" max="7" width="8.625"/>
    <col min="8" max="8" width="11.25" customWidth="1"/>
    <col min="9" max="257" width="8.625"/>
  </cols>
  <sheetData>
    <row r="1" spans="1:8" s="3" customFormat="1">
      <c r="B1" s="3" t="s">
        <v>54</v>
      </c>
      <c r="C1" s="3" t="s">
        <v>51</v>
      </c>
      <c r="D1" s="3" t="s">
        <v>0</v>
      </c>
      <c r="E1" s="3" t="s">
        <v>1</v>
      </c>
      <c r="F1" s="3" t="s">
        <v>52</v>
      </c>
      <c r="G1" s="3" t="s">
        <v>53</v>
      </c>
      <c r="H1" s="3" t="s">
        <v>55</v>
      </c>
    </row>
    <row r="2" spans="1:8" outlineLevel="1">
      <c r="A2" t="s">
        <v>2</v>
      </c>
      <c r="B2" s="1" t="s">
        <v>35</v>
      </c>
      <c r="C2">
        <v>1</v>
      </c>
      <c r="D2">
        <v>5</v>
      </c>
      <c r="E2">
        <v>6</v>
      </c>
      <c r="G2" s="1">
        <f t="shared" ref="G2:G17" si="0">SUM(C2:F2)</f>
        <v>12</v>
      </c>
      <c r="H2" s="2">
        <f>G2/G18</f>
        <v>0.13043478260869565</v>
      </c>
    </row>
    <row r="3" spans="1:8" outlineLevel="1">
      <c r="A3" t="s">
        <v>3</v>
      </c>
      <c r="B3" s="1" t="s">
        <v>38</v>
      </c>
      <c r="C3">
        <v>1</v>
      </c>
      <c r="D3">
        <v>4</v>
      </c>
      <c r="E3">
        <v>3</v>
      </c>
      <c r="F3">
        <v>3</v>
      </c>
      <c r="G3" s="1">
        <f t="shared" si="0"/>
        <v>11</v>
      </c>
      <c r="H3" s="2">
        <f>G3/G18</f>
        <v>0.11956521739130435</v>
      </c>
    </row>
    <row r="4" spans="1:8" outlineLevel="1">
      <c r="A4" t="s">
        <v>4</v>
      </c>
      <c r="B4" s="1" t="s">
        <v>39</v>
      </c>
      <c r="D4">
        <v>5</v>
      </c>
      <c r="E4">
        <v>3</v>
      </c>
      <c r="G4" s="1">
        <f t="shared" si="0"/>
        <v>8</v>
      </c>
      <c r="H4" s="2">
        <f>G4/G18</f>
        <v>8.6956521739130432E-2</v>
      </c>
    </row>
    <row r="5" spans="1:8" outlineLevel="1">
      <c r="A5" t="s">
        <v>5</v>
      </c>
      <c r="B5" s="1" t="s">
        <v>48</v>
      </c>
      <c r="C5">
        <v>1</v>
      </c>
      <c r="D5">
        <v>4</v>
      </c>
      <c r="E5">
        <v>2</v>
      </c>
      <c r="F5">
        <v>1</v>
      </c>
      <c r="G5" s="1">
        <f t="shared" si="0"/>
        <v>8</v>
      </c>
      <c r="H5" s="2">
        <f>G5/G18</f>
        <v>8.6956521739130432E-2</v>
      </c>
    </row>
    <row r="6" spans="1:8" outlineLevel="1">
      <c r="A6" t="s">
        <v>6</v>
      </c>
      <c r="B6" s="1" t="s">
        <v>36</v>
      </c>
      <c r="C6">
        <v>1</v>
      </c>
      <c r="D6">
        <v>2</v>
      </c>
      <c r="E6">
        <v>4</v>
      </c>
      <c r="G6" s="1">
        <f t="shared" si="0"/>
        <v>7</v>
      </c>
      <c r="H6" s="2">
        <f>G6/G18</f>
        <v>7.6086956521739135E-2</v>
      </c>
    </row>
    <row r="7" spans="1:8" outlineLevel="1">
      <c r="A7" t="s">
        <v>8</v>
      </c>
      <c r="B7" s="1" t="s">
        <v>40</v>
      </c>
      <c r="C7">
        <v>1</v>
      </c>
      <c r="D7">
        <v>4</v>
      </c>
      <c r="E7">
        <v>1</v>
      </c>
      <c r="G7" s="1">
        <f t="shared" si="0"/>
        <v>6</v>
      </c>
      <c r="H7" s="2">
        <f>G7/G18</f>
        <v>6.5217391304347824E-2</v>
      </c>
    </row>
    <row r="8" spans="1:8" outlineLevel="1">
      <c r="A8" t="s">
        <v>9</v>
      </c>
      <c r="B8" s="1" t="s">
        <v>43</v>
      </c>
      <c r="C8">
        <v>1</v>
      </c>
      <c r="D8">
        <v>3</v>
      </c>
      <c r="E8">
        <v>1</v>
      </c>
      <c r="F8">
        <v>1</v>
      </c>
      <c r="G8" s="1">
        <f t="shared" si="0"/>
        <v>6</v>
      </c>
      <c r="H8" s="2">
        <f>G8/G18</f>
        <v>6.5217391304347824E-2</v>
      </c>
    </row>
    <row r="9" spans="1:8" outlineLevel="1">
      <c r="A9" t="s">
        <v>10</v>
      </c>
      <c r="B9" t="s">
        <v>47</v>
      </c>
      <c r="C9">
        <v>1</v>
      </c>
      <c r="D9">
        <v>4</v>
      </c>
      <c r="F9">
        <v>1</v>
      </c>
      <c r="G9" s="1">
        <f t="shared" si="0"/>
        <v>6</v>
      </c>
      <c r="H9" s="2">
        <f>G9/G18</f>
        <v>6.5217391304347824E-2</v>
      </c>
    </row>
    <row r="10" spans="1:8" outlineLevel="1">
      <c r="A10" t="s">
        <v>12</v>
      </c>
      <c r="B10" s="1" t="s">
        <v>49</v>
      </c>
      <c r="D10">
        <v>6</v>
      </c>
      <c r="G10" s="1">
        <f t="shared" si="0"/>
        <v>6</v>
      </c>
      <c r="H10" s="2">
        <f>G10/G18</f>
        <v>6.5217391304347824E-2</v>
      </c>
    </row>
    <row r="11" spans="1:8" outlineLevel="1">
      <c r="A11" t="s">
        <v>7</v>
      </c>
      <c r="B11" s="1" t="s">
        <v>50</v>
      </c>
      <c r="C11">
        <v>1</v>
      </c>
      <c r="D11">
        <v>1</v>
      </c>
      <c r="E11">
        <v>2</v>
      </c>
      <c r="F11">
        <v>2</v>
      </c>
      <c r="G11" s="1">
        <f t="shared" si="0"/>
        <v>6</v>
      </c>
      <c r="H11" s="2">
        <f>G11/G18</f>
        <v>6.5217391304347824E-2</v>
      </c>
    </row>
    <row r="12" spans="1:8" outlineLevel="1">
      <c r="A12" t="s">
        <v>11</v>
      </c>
      <c r="B12" s="1" t="s">
        <v>44</v>
      </c>
      <c r="C12">
        <v>1</v>
      </c>
      <c r="D12">
        <v>2</v>
      </c>
      <c r="E12">
        <v>2</v>
      </c>
      <c r="G12" s="1">
        <f t="shared" si="0"/>
        <v>5</v>
      </c>
      <c r="H12" s="2">
        <f>G12/G18</f>
        <v>5.434782608695652E-2</v>
      </c>
    </row>
    <row r="13" spans="1:8" outlineLevel="1">
      <c r="A13" t="s">
        <v>13</v>
      </c>
      <c r="B13" s="1" t="s">
        <v>45</v>
      </c>
      <c r="C13">
        <v>1</v>
      </c>
      <c r="D13">
        <v>2</v>
      </c>
      <c r="F13">
        <v>1</v>
      </c>
      <c r="G13" s="1">
        <f t="shared" si="0"/>
        <v>4</v>
      </c>
      <c r="H13" s="2">
        <f>G13/G18</f>
        <v>4.3478260869565216E-2</v>
      </c>
    </row>
    <row r="14" spans="1:8" outlineLevel="1">
      <c r="A14" t="s">
        <v>14</v>
      </c>
      <c r="B14" s="1" t="s">
        <v>37</v>
      </c>
      <c r="D14">
        <v>2</v>
      </c>
      <c r="E14">
        <v>1</v>
      </c>
      <c r="G14" s="1">
        <f t="shared" si="0"/>
        <v>3</v>
      </c>
      <c r="H14" s="2">
        <f>G14/G18</f>
        <v>3.2608695652173912E-2</v>
      </c>
    </row>
    <row r="15" spans="1:8" outlineLevel="1">
      <c r="A15" t="s">
        <v>15</v>
      </c>
      <c r="B15" s="1" t="s">
        <v>41</v>
      </c>
      <c r="C15">
        <v>1</v>
      </c>
      <c r="D15">
        <v>1</v>
      </c>
      <c r="G15" s="1">
        <f t="shared" si="0"/>
        <v>2</v>
      </c>
      <c r="H15" s="2">
        <f>G15/G18</f>
        <v>2.1739130434782608E-2</v>
      </c>
    </row>
    <row r="16" spans="1:8" outlineLevel="1">
      <c r="A16" t="s">
        <v>16</v>
      </c>
      <c r="B16" s="1" t="s">
        <v>42</v>
      </c>
      <c r="D16">
        <v>1</v>
      </c>
      <c r="G16" s="1">
        <f t="shared" si="0"/>
        <v>1</v>
      </c>
      <c r="H16" s="2">
        <f>G16/G18</f>
        <v>1.0869565217391304E-2</v>
      </c>
    </row>
    <row r="17" spans="1:8" outlineLevel="1">
      <c r="A17" t="s">
        <v>17</v>
      </c>
      <c r="B17" s="1" t="s">
        <v>46</v>
      </c>
      <c r="F17">
        <v>1</v>
      </c>
      <c r="G17" s="1">
        <f t="shared" si="0"/>
        <v>1</v>
      </c>
      <c r="H17" s="2">
        <f>G17/G18</f>
        <v>1.0869565217391304E-2</v>
      </c>
    </row>
    <row r="18" spans="1:8">
      <c r="A18" s="1" t="s">
        <v>53</v>
      </c>
      <c r="C18" s="1">
        <f>SUM(C2:C17)</f>
        <v>11</v>
      </c>
      <c r="D18" s="1">
        <f>SUM(D2:D17)</f>
        <v>46</v>
      </c>
      <c r="E18" s="1">
        <f>SUM(E2:E17)</f>
        <v>25</v>
      </c>
      <c r="F18" s="1">
        <f>SUM(F2:F17)</f>
        <v>10</v>
      </c>
      <c r="G18" s="1">
        <f>SUM(G2:G17)</f>
        <v>92</v>
      </c>
      <c r="H18" s="2">
        <f>G18/G18</f>
        <v>1</v>
      </c>
    </row>
    <row r="20" spans="1:8" outlineLevel="1">
      <c r="A20" s="6" t="s">
        <v>58</v>
      </c>
      <c r="B20" s="6"/>
      <c r="C20" s="1">
        <v>5</v>
      </c>
      <c r="D20" s="1">
        <v>24</v>
      </c>
      <c r="E20" s="1">
        <v>18</v>
      </c>
      <c r="F20" s="1">
        <v>3</v>
      </c>
    </row>
    <row r="21" spans="1:8" outlineLevel="1">
      <c r="A21" s="6" t="s">
        <v>18</v>
      </c>
      <c r="B21" s="6"/>
      <c r="C21" s="1">
        <v>6</v>
      </c>
      <c r="D21" s="1">
        <v>22</v>
      </c>
      <c r="E21" s="1">
        <v>7</v>
      </c>
      <c r="F21" s="1">
        <v>7</v>
      </c>
    </row>
    <row r="22" spans="1:8">
      <c r="A22" s="6" t="s">
        <v>56</v>
      </c>
      <c r="B22" s="6"/>
      <c r="C22" s="1">
        <f>C20/C21</f>
        <v>0.83333333333333337</v>
      </c>
      <c r="D22" s="1">
        <f t="shared" ref="D22:F22" si="1">D20/D21</f>
        <v>1.0909090909090908</v>
      </c>
      <c r="E22" s="1">
        <f t="shared" si="1"/>
        <v>2.5714285714285716</v>
      </c>
      <c r="F22" s="1">
        <f t="shared" si="1"/>
        <v>0.42857142857142855</v>
      </c>
    </row>
    <row r="24" spans="1:8" outlineLevel="1">
      <c r="A24" s="7" t="s">
        <v>57</v>
      </c>
      <c r="B24" s="7"/>
      <c r="C24">
        <v>11</v>
      </c>
      <c r="D24">
        <v>12</v>
      </c>
      <c r="E24">
        <v>2</v>
      </c>
      <c r="F24">
        <v>3</v>
      </c>
    </row>
    <row r="25" spans="1:8" outlineLevel="1">
      <c r="A25" s="7"/>
      <c r="B25" s="7"/>
      <c r="D25">
        <v>5</v>
      </c>
      <c r="E25">
        <v>5</v>
      </c>
      <c r="F25">
        <v>2</v>
      </c>
    </row>
    <row r="26" spans="1:8" outlineLevel="1">
      <c r="A26" s="7"/>
      <c r="B26" s="7"/>
      <c r="D26">
        <v>2</v>
      </c>
      <c r="E26">
        <v>5</v>
      </c>
      <c r="F26">
        <v>5</v>
      </c>
    </row>
    <row r="27" spans="1:8" outlineLevel="1">
      <c r="A27" s="7"/>
      <c r="B27" s="7"/>
      <c r="D27">
        <v>12</v>
      </c>
      <c r="E27">
        <v>3</v>
      </c>
    </row>
    <row r="28" spans="1:8" outlineLevel="1">
      <c r="A28" s="7"/>
      <c r="B28" s="7"/>
      <c r="D28">
        <v>1</v>
      </c>
      <c r="E28">
        <v>6</v>
      </c>
    </row>
    <row r="29" spans="1:8" outlineLevel="1">
      <c r="A29" s="7"/>
      <c r="B29" s="7"/>
      <c r="D29">
        <v>6</v>
      </c>
      <c r="E29">
        <v>4</v>
      </c>
      <c r="G29" t="s">
        <v>19</v>
      </c>
    </row>
    <row r="30" spans="1:8" outlineLevel="1">
      <c r="A30" s="7"/>
      <c r="B30" s="7"/>
      <c r="D30">
        <v>8</v>
      </c>
      <c r="G30" s="1">
        <f>SUM(C24:F30)</f>
        <v>92</v>
      </c>
    </row>
    <row r="31" spans="1:8">
      <c r="A31" s="6" t="s">
        <v>59</v>
      </c>
      <c r="B31" s="6"/>
      <c r="C31" s="1">
        <f>AVERAGE(C24:C30)</f>
        <v>11</v>
      </c>
      <c r="D31" s="1">
        <f>AVERAGE(D24:D30)</f>
        <v>6.5714285714285712</v>
      </c>
      <c r="E31" s="1">
        <f>AVERAGE(E24:E30)</f>
        <v>4.166666666666667</v>
      </c>
      <c r="F31" s="1">
        <f>AVERAGE(F24:F30)</f>
        <v>3.3333333333333335</v>
      </c>
    </row>
    <row r="33" spans="1:6" outlineLevel="1">
      <c r="A33" t="s">
        <v>20</v>
      </c>
    </row>
    <row r="34" spans="1:6" outlineLevel="1">
      <c r="A34" t="s">
        <v>21</v>
      </c>
      <c r="C34">
        <v>1</v>
      </c>
      <c r="D34">
        <v>1</v>
      </c>
      <c r="E34">
        <v>1</v>
      </c>
    </row>
    <row r="35" spans="1:6" outlineLevel="1">
      <c r="A35" t="s">
        <v>22</v>
      </c>
      <c r="D35">
        <v>2</v>
      </c>
      <c r="E35">
        <v>4</v>
      </c>
    </row>
    <row r="36" spans="1:6" outlineLevel="1">
      <c r="A36" t="s">
        <v>23</v>
      </c>
      <c r="D36">
        <v>3</v>
      </c>
      <c r="E36">
        <v>1</v>
      </c>
    </row>
    <row r="37" spans="1:6" outlineLevel="1">
      <c r="A37" t="s">
        <v>24</v>
      </c>
      <c r="D37">
        <v>1</v>
      </c>
      <c r="F37">
        <v>3</v>
      </c>
    </row>
    <row r="38" spans="1:6" outlineLevel="1">
      <c r="A38" t="s">
        <v>25</v>
      </c>
    </row>
    <row r="39" spans="1:6" outlineLevel="1">
      <c r="A39" t="s">
        <v>26</v>
      </c>
    </row>
    <row r="40" spans="1:6" outlineLevel="1">
      <c r="A40" t="s">
        <v>27</v>
      </c>
      <c r="D40">
        <v>1</v>
      </c>
      <c r="E40">
        <v>1</v>
      </c>
    </row>
    <row r="41" spans="1:6" outlineLevel="1">
      <c r="A41" t="s">
        <v>28</v>
      </c>
      <c r="C41">
        <v>1</v>
      </c>
      <c r="D41">
        <v>3</v>
      </c>
      <c r="E41">
        <v>5</v>
      </c>
    </row>
    <row r="42" spans="1:6" outlineLevel="1">
      <c r="A42" t="s">
        <v>29</v>
      </c>
      <c r="D42">
        <v>3</v>
      </c>
      <c r="F42">
        <v>3</v>
      </c>
    </row>
    <row r="44" spans="1:6">
      <c r="A44" s="1" t="s">
        <v>60</v>
      </c>
      <c r="C44" s="6">
        <v>1</v>
      </c>
      <c r="D44" s="6"/>
      <c r="E44">
        <v>4</v>
      </c>
      <c r="F44">
        <v>2</v>
      </c>
    </row>
    <row r="45" spans="1:6">
      <c r="A45" s="1" t="s">
        <v>61</v>
      </c>
      <c r="C45" s="6">
        <v>6</v>
      </c>
      <c r="D45" s="6"/>
      <c r="E45">
        <v>2</v>
      </c>
    </row>
    <row r="46" spans="1:6">
      <c r="A46" s="1" t="s">
        <v>62</v>
      </c>
      <c r="C46" s="6">
        <v>2</v>
      </c>
      <c r="D46" s="6"/>
      <c r="E46">
        <v>1</v>
      </c>
      <c r="F46">
        <v>1</v>
      </c>
    </row>
    <row r="47" spans="1:6">
      <c r="A47" s="1"/>
      <c r="B47" s="1"/>
      <c r="C47" s="6" t="s">
        <v>63</v>
      </c>
      <c r="D47" s="6"/>
      <c r="E47" s="1" t="s">
        <v>64</v>
      </c>
      <c r="F47" s="1" t="s">
        <v>65</v>
      </c>
    </row>
  </sheetData>
  <sortState ref="A2:H17">
    <sortCondition descending="1" ref="G2:G17"/>
  </sortState>
  <mergeCells count="9">
    <mergeCell ref="C44:D44"/>
    <mergeCell ref="C45:D45"/>
    <mergeCell ref="C46:D46"/>
    <mergeCell ref="C47:D47"/>
    <mergeCell ref="A20:B20"/>
    <mergeCell ref="A21:B21"/>
    <mergeCell ref="A22:B22"/>
    <mergeCell ref="A24:B30"/>
    <mergeCell ref="A31:B31"/>
  </mergeCells>
  <phoneticPr fontId="1" type="noConversion"/>
  <pageMargins left="0.7" right="0.7" top="0.75" bottom="0.75" header="0.51180555555555496" footer="0.51180555555555496"/>
  <pageSetup paperSize="0" firstPageNumber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tabSelected="1" topLeftCell="B37" workbookViewId="0">
      <selection activeCell="E50" sqref="E50"/>
    </sheetView>
  </sheetViews>
  <sheetFormatPr defaultRowHeight="13.5" outlineLevelRow="1"/>
  <cols>
    <col min="1" max="1" width="39.125" style="4" customWidth="1"/>
    <col min="2" max="257" width="8.625"/>
  </cols>
  <sheetData>
    <row r="1" spans="1:4">
      <c r="A1" s="4" t="s">
        <v>30</v>
      </c>
      <c r="B1" s="1" t="s">
        <v>66</v>
      </c>
      <c r="C1" s="1" t="s">
        <v>67</v>
      </c>
      <c r="D1" s="1" t="s">
        <v>53</v>
      </c>
    </row>
    <row r="2" spans="1:4" outlineLevel="1">
      <c r="A2" s="4" t="s">
        <v>6</v>
      </c>
      <c r="B2">
        <v>4</v>
      </c>
      <c r="C2">
        <v>3</v>
      </c>
      <c r="D2" s="1">
        <f t="shared" ref="D2:D17" si="0">SUM(B2:C2)</f>
        <v>7</v>
      </c>
    </row>
    <row r="3" spans="1:4" outlineLevel="1">
      <c r="A3" s="4" t="s">
        <v>14</v>
      </c>
      <c r="B3">
        <v>3</v>
      </c>
      <c r="D3" s="1">
        <f t="shared" si="0"/>
        <v>3</v>
      </c>
    </row>
    <row r="4" spans="1:4" outlineLevel="1">
      <c r="A4" s="4" t="s">
        <v>3</v>
      </c>
      <c r="B4">
        <v>8</v>
      </c>
      <c r="C4">
        <v>3</v>
      </c>
      <c r="D4" s="1">
        <f t="shared" si="0"/>
        <v>11</v>
      </c>
    </row>
    <row r="5" spans="1:4" outlineLevel="1">
      <c r="A5" s="4" t="s">
        <v>4</v>
      </c>
      <c r="B5">
        <v>5</v>
      </c>
      <c r="C5">
        <v>3</v>
      </c>
      <c r="D5" s="1">
        <f t="shared" si="0"/>
        <v>8</v>
      </c>
    </row>
    <row r="6" spans="1:4" outlineLevel="1">
      <c r="A6" s="4" t="s">
        <v>8</v>
      </c>
      <c r="B6">
        <v>3</v>
      </c>
      <c r="C6">
        <v>3</v>
      </c>
      <c r="D6" s="1">
        <f t="shared" si="0"/>
        <v>6</v>
      </c>
    </row>
    <row r="7" spans="1:4" outlineLevel="1">
      <c r="A7" s="4" t="s">
        <v>15</v>
      </c>
      <c r="C7">
        <v>2</v>
      </c>
      <c r="D7" s="1">
        <f t="shared" si="0"/>
        <v>2</v>
      </c>
    </row>
    <row r="8" spans="1:4" outlineLevel="1">
      <c r="A8" s="4" t="s">
        <v>16</v>
      </c>
      <c r="B8">
        <v>1</v>
      </c>
      <c r="D8" s="1">
        <f t="shared" si="0"/>
        <v>1</v>
      </c>
    </row>
    <row r="9" spans="1:4" outlineLevel="1">
      <c r="A9" s="4" t="s">
        <v>2</v>
      </c>
      <c r="B9">
        <v>7</v>
      </c>
      <c r="C9">
        <v>5</v>
      </c>
      <c r="D9" s="1">
        <f t="shared" si="0"/>
        <v>12</v>
      </c>
    </row>
    <row r="10" spans="1:4" outlineLevel="1">
      <c r="A10" s="4" t="s">
        <v>9</v>
      </c>
      <c r="B10">
        <v>3</v>
      </c>
      <c r="C10">
        <v>3</v>
      </c>
      <c r="D10" s="1">
        <f t="shared" si="0"/>
        <v>6</v>
      </c>
    </row>
    <row r="11" spans="1:4" outlineLevel="1">
      <c r="A11" s="4" t="s">
        <v>11</v>
      </c>
      <c r="B11">
        <v>2</v>
      </c>
      <c r="C11">
        <v>3</v>
      </c>
      <c r="D11" s="1">
        <f t="shared" si="0"/>
        <v>5</v>
      </c>
    </row>
    <row r="12" spans="1:4" outlineLevel="1">
      <c r="A12" s="4" t="s">
        <v>13</v>
      </c>
      <c r="B12">
        <v>2</v>
      </c>
      <c r="C12">
        <v>2</v>
      </c>
      <c r="D12" s="1">
        <f t="shared" si="0"/>
        <v>4</v>
      </c>
    </row>
    <row r="13" spans="1:4" outlineLevel="1">
      <c r="A13" s="4" t="s">
        <v>17</v>
      </c>
      <c r="B13">
        <v>1</v>
      </c>
      <c r="D13" s="1">
        <f t="shared" si="0"/>
        <v>1</v>
      </c>
    </row>
    <row r="14" spans="1:4" outlineLevel="1">
      <c r="A14" s="4" t="s">
        <v>10</v>
      </c>
      <c r="B14">
        <v>4</v>
      </c>
      <c r="C14">
        <v>2</v>
      </c>
      <c r="D14" s="1">
        <f t="shared" si="0"/>
        <v>6</v>
      </c>
    </row>
    <row r="15" spans="1:4" outlineLevel="1">
      <c r="A15" s="4" t="s">
        <v>5</v>
      </c>
      <c r="B15">
        <v>5</v>
      </c>
      <c r="C15">
        <v>3</v>
      </c>
      <c r="D15" s="1">
        <f t="shared" si="0"/>
        <v>8</v>
      </c>
    </row>
    <row r="16" spans="1:4" outlineLevel="1">
      <c r="A16" s="4" t="s">
        <v>12</v>
      </c>
      <c r="B16">
        <v>5</v>
      </c>
      <c r="C16">
        <v>1</v>
      </c>
      <c r="D16" s="1">
        <f t="shared" si="0"/>
        <v>6</v>
      </c>
    </row>
    <row r="17" spans="1:5" outlineLevel="1">
      <c r="A17" s="4" t="s">
        <v>7</v>
      </c>
      <c r="B17">
        <v>4</v>
      </c>
      <c r="C17">
        <v>2</v>
      </c>
      <c r="D17" s="1">
        <f t="shared" si="0"/>
        <v>6</v>
      </c>
      <c r="E17" t="s">
        <v>19</v>
      </c>
    </row>
    <row r="18" spans="1:5">
      <c r="A18" s="4" t="s">
        <v>53</v>
      </c>
      <c r="D18" s="1">
        <f>SUM(D2:D17)</f>
        <v>92</v>
      </c>
      <c r="E18" s="1">
        <f>SUM(B24:C34)</f>
        <v>92</v>
      </c>
    </row>
    <row r="20" spans="1:5" outlineLevel="1">
      <c r="A20" s="4" t="s">
        <v>68</v>
      </c>
      <c r="B20" s="1">
        <f>SUM(B2:B9)</f>
        <v>31</v>
      </c>
      <c r="C20" s="1">
        <f>SUM(C2:C9)</f>
        <v>19</v>
      </c>
    </row>
    <row r="21" spans="1:5" outlineLevel="1">
      <c r="A21" s="4" t="s">
        <v>69</v>
      </c>
      <c r="B21" s="1">
        <f>SUM(B10:B17)</f>
        <v>26</v>
      </c>
      <c r="C21" s="1">
        <f>SUM(C10:C17)</f>
        <v>16</v>
      </c>
    </row>
    <row r="22" spans="1:5">
      <c r="A22" s="4" t="s">
        <v>70</v>
      </c>
      <c r="B22" s="5">
        <f>B20/B21</f>
        <v>1.1923076923076923</v>
      </c>
      <c r="C22" s="5">
        <f>C20/C21</f>
        <v>1.1875</v>
      </c>
    </row>
    <row r="24" spans="1:5" outlineLevel="1">
      <c r="B24">
        <v>5</v>
      </c>
      <c r="C24">
        <v>2</v>
      </c>
    </row>
    <row r="25" spans="1:5" outlineLevel="1">
      <c r="B25">
        <v>2</v>
      </c>
      <c r="C25">
        <v>5</v>
      </c>
    </row>
    <row r="26" spans="1:5" outlineLevel="1">
      <c r="B26">
        <v>12</v>
      </c>
      <c r="C26">
        <v>12</v>
      </c>
    </row>
    <row r="27" spans="1:5" outlineLevel="1">
      <c r="B27">
        <v>2</v>
      </c>
      <c r="C27">
        <v>11</v>
      </c>
    </row>
    <row r="28" spans="1:5" outlineLevel="1">
      <c r="B28">
        <v>5</v>
      </c>
      <c r="C28">
        <v>5</v>
      </c>
    </row>
    <row r="29" spans="1:5" outlineLevel="1">
      <c r="B29">
        <v>3</v>
      </c>
      <c r="C29">
        <v>3</v>
      </c>
    </row>
    <row r="30" spans="1:5" outlineLevel="1">
      <c r="B30">
        <v>1</v>
      </c>
    </row>
    <row r="31" spans="1:5" outlineLevel="1">
      <c r="B31">
        <v>6</v>
      </c>
    </row>
    <row r="32" spans="1:5" outlineLevel="1">
      <c r="B32">
        <v>6</v>
      </c>
    </row>
    <row r="33" spans="1:5" outlineLevel="1">
      <c r="B33">
        <v>4</v>
      </c>
    </row>
    <row r="34" spans="1:5" outlineLevel="1">
      <c r="B34">
        <v>8</v>
      </c>
    </row>
    <row r="35" spans="1:5">
      <c r="A35" s="4" t="s">
        <v>71</v>
      </c>
      <c r="B35" s="1">
        <f>AVERAGE(B24:B34)</f>
        <v>4.9090909090909092</v>
      </c>
      <c r="C35" s="1">
        <f>AVERAGE(C24:C34)</f>
        <v>6.333333333333333</v>
      </c>
    </row>
    <row r="37" spans="1:5">
      <c r="B37" s="1" t="s">
        <v>72</v>
      </c>
      <c r="C37" s="1" t="s">
        <v>73</v>
      </c>
    </row>
    <row r="38" spans="1:5">
      <c r="B38">
        <f>SUM(B40:B43)</f>
        <v>8</v>
      </c>
      <c r="C38">
        <f>SUM(C40:C43)</f>
        <v>9</v>
      </c>
    </row>
    <row r="40" spans="1:5">
      <c r="A40" s="4" t="s">
        <v>74</v>
      </c>
      <c r="B40">
        <v>5</v>
      </c>
    </row>
    <row r="41" spans="1:5">
      <c r="A41" s="4" t="s">
        <v>75</v>
      </c>
      <c r="B41">
        <v>3</v>
      </c>
      <c r="C41">
        <v>6</v>
      </c>
    </row>
    <row r="42" spans="1:5">
      <c r="A42" s="4" t="s">
        <v>76</v>
      </c>
      <c r="C42">
        <v>3</v>
      </c>
    </row>
    <row r="43" spans="1:5">
      <c r="A43" s="4" t="s">
        <v>77</v>
      </c>
    </row>
    <row r="45" spans="1:5">
      <c r="B45" t="s">
        <v>31</v>
      </c>
      <c r="C45" t="s">
        <v>32</v>
      </c>
      <c r="D45" t="s">
        <v>33</v>
      </c>
      <c r="E45" t="s">
        <v>34</v>
      </c>
    </row>
    <row r="46" spans="1:5">
      <c r="B46">
        <v>5</v>
      </c>
      <c r="C46">
        <v>9</v>
      </c>
      <c r="D46">
        <v>3</v>
      </c>
      <c r="E46">
        <v>0</v>
      </c>
    </row>
  </sheetData>
  <phoneticPr fontId="1" type="noConversion"/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cols>
    <col min="1" max="257" width="8.625"/>
  </cols>
  <sheetData/>
  <phoneticPr fontId="1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LibreOffice/3.3$Linux LibreOffice_project/330m19$Build-301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AGE</vt:lpstr>
      <vt:lpstr>GENDER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uraplutonium</dc:creator>
  <cp:lastModifiedBy>uraplutonium</cp:lastModifiedBy>
  <cp:revision>0</cp:revision>
  <dcterms:created xsi:type="dcterms:W3CDTF">2011-09-27T09:03:36Z</dcterms:created>
  <dcterms:modified xsi:type="dcterms:W3CDTF">2011-09-29T00:00:13Z</dcterms:modified>
</cp:coreProperties>
</file>